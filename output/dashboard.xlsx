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dit Utilization" sheetId="1" state="visible" r:id="rId1"/>
    <sheet name="Repayment Trends" sheetId="2" state="visible" r:id="rId2"/>
    <sheet name="Customer Risk Sc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sz val="10"/>
    </font>
    <font>
      <b val="1"/>
      <sz val="1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Credit Utilization by Risk Label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'Credit Utilization'!C4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'Credit Utilization'!$B$5:$B$7</f>
            </numRef>
          </cat>
          <val>
            <numRef>
              <f>'Credit Utilization'!$C$5:$C$7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Risk Label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Utilization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Defaults by Repayment Quality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'Repayment Trends'!E4</f>
            </strRef>
          </tx>
          <spPr>
            <a:solidFill>
              <a:srgbClr val="E74C3C"/>
            </a:solidFill>
            <a:ln>
              <a:prstDash val="solid"/>
            </a:ln>
          </spPr>
          <cat>
            <numRef>
              <f>'Repayment Trends'!$B$5:$B$8</f>
            </numRef>
          </cat>
          <val>
            <numRef>
              <f>'Repayment Trends'!$E$5:$E$8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Defaults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Loan Exposure by Risk Tier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'Customer Risk Scores'!I4</f>
            </strRef>
          </tx>
          <spPr>
            <a:solidFill>
              <a:srgbClr val="1F4E79"/>
            </a:solidFill>
            <a:ln>
              <a:prstDash val="solid"/>
            </a:ln>
          </spPr>
          <cat>
            <numRef>
              <f>'Customer Risk Scores'!$B$5:$B$7</f>
            </numRef>
          </cat>
          <val>
            <numRef>
              <f>'Customer Risk Scores'!$I$5:$I$7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Loan 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12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12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0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2" ht="25" customHeight="1">
      <c r="B2" s="1" t="inlineStr">
        <is>
          <t>Credit Utilization Analysis by Risk Segment</t>
        </is>
      </c>
    </row>
    <row r="4">
      <c r="B4" s="2" t="inlineStr">
        <is>
          <t>Risk Label</t>
        </is>
      </c>
      <c r="C4" s="2" t="inlineStr">
        <is>
          <t>Customers</t>
        </is>
      </c>
      <c r="D4" s="2" t="inlineStr">
        <is>
          <t>Avg Utilization</t>
        </is>
      </c>
      <c r="E4" s="2" t="inlineStr">
        <is>
          <t>Low (&lt;30%)</t>
        </is>
      </c>
      <c r="F4" s="2" t="inlineStr">
        <is>
          <t>Medium (30-60%)</t>
        </is>
      </c>
      <c r="G4" s="2" t="inlineStr">
        <is>
          <t>High (&gt;60%)</t>
        </is>
      </c>
    </row>
    <row r="5">
      <c r="B5" s="3" t="inlineStr">
        <is>
          <t>Low</t>
        </is>
      </c>
      <c r="C5" s="3" t="n">
        <v>2654</v>
      </c>
      <c r="D5" s="3" t="n">
        <v>0.27</v>
      </c>
      <c r="E5" s="3" t="n">
        <v>64.36</v>
      </c>
      <c r="F5" s="3" t="n">
        <v>33.08</v>
      </c>
      <c r="G5" s="3" t="n">
        <v>2.56</v>
      </c>
    </row>
    <row r="6">
      <c r="B6" s="4" t="inlineStr">
        <is>
          <t>Medium</t>
        </is>
      </c>
      <c r="C6" s="4" t="n">
        <v>1462</v>
      </c>
      <c r="D6" s="4" t="n">
        <v>0.3</v>
      </c>
      <c r="E6" s="4" t="n">
        <v>54.04</v>
      </c>
      <c r="F6" s="4" t="n">
        <v>40.63</v>
      </c>
      <c r="G6" s="4" t="n">
        <v>5.34</v>
      </c>
    </row>
    <row r="7">
      <c r="B7" s="5" t="inlineStr">
        <is>
          <t>High</t>
        </is>
      </c>
      <c r="C7" s="5" t="n">
        <v>734</v>
      </c>
      <c r="D7" s="5" t="n">
        <v>0.31</v>
      </c>
      <c r="E7" s="5" t="n">
        <v>53.95</v>
      </c>
      <c r="F7" s="5" t="n">
        <v>40.87</v>
      </c>
      <c r="G7" s="5" t="n">
        <v>5.18</v>
      </c>
    </row>
    <row r="10">
      <c r="B10" s="6" t="inlineStr">
        <is>
          <t>Average Credit Utilization</t>
        </is>
      </c>
      <c r="C10" s="7" t="inlineStr">
        <is>
          <t>28.3%</t>
        </is>
      </c>
      <c r="E10" s="6" t="inlineStr">
        <is>
          <t>High Utilization Customers (&gt;60%)</t>
        </is>
      </c>
      <c r="F10" s="7" t="inlineStr">
        <is>
          <t>184</t>
        </is>
      </c>
      <c r="H10" s="6" t="inlineStr">
        <is>
          <t>Total Portfolio</t>
        </is>
      </c>
      <c r="I10" s="7" t="inlineStr">
        <is>
          <t>$373,310,953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8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2">
      <c r="B2" s="1" t="inlineStr">
        <is>
          <t>Repayment Trends &amp; Default Analysis</t>
        </is>
      </c>
    </row>
    <row r="4">
      <c r="B4" s="2" t="inlineStr">
        <is>
          <t>Repayment Band</t>
        </is>
      </c>
      <c r="C4" s="2" t="inlineStr">
        <is>
          <t>Customers</t>
        </is>
      </c>
      <c r="D4" s="2" t="inlineStr">
        <is>
          <t>Avg Credit Score</t>
        </is>
      </c>
      <c r="E4" s="2" t="inlineStr">
        <is>
          <t>Avg Defaults</t>
        </is>
      </c>
      <c r="F4" s="2" t="inlineStr">
        <is>
          <t>High Risk %</t>
        </is>
      </c>
    </row>
    <row r="5">
      <c r="B5" s="5" t="inlineStr">
        <is>
          <t>Fair (9-16)</t>
        </is>
      </c>
      <c r="C5" s="5" t="n">
        <v>394</v>
      </c>
      <c r="D5" s="5" t="n">
        <v>654.14</v>
      </c>
      <c r="E5" s="5" t="n">
        <v>0.67</v>
      </c>
      <c r="F5" s="5" t="n">
        <v>16.5</v>
      </c>
    </row>
    <row r="6">
      <c r="B6" s="4" t="inlineStr">
        <is>
          <t>Good (17-20)</t>
        </is>
      </c>
      <c r="C6" s="4" t="n">
        <v>3228</v>
      </c>
      <c r="D6" s="4" t="n">
        <v>648.78</v>
      </c>
      <c r="E6" s="4" t="n">
        <v>0.76</v>
      </c>
      <c r="F6" s="4" t="n">
        <v>15.49</v>
      </c>
    </row>
    <row r="7">
      <c r="B7" s="8" t="inlineStr">
        <is>
          <t>Excellent (21-24)</t>
        </is>
      </c>
      <c r="C7" s="8" t="n">
        <v>1228</v>
      </c>
      <c r="D7" s="8" t="n">
        <v>647.66</v>
      </c>
      <c r="E7" s="8" t="n">
        <v>0.77</v>
      </c>
      <c r="F7" s="8" t="n">
        <v>13.76</v>
      </c>
    </row>
    <row r="12">
      <c r="B12" s="2" t="inlineStr">
        <is>
          <t>Number of Defaults</t>
        </is>
      </c>
      <c r="C12" s="2" t="inlineStr">
        <is>
          <t>Customers</t>
        </is>
      </c>
    </row>
    <row r="13">
      <c r="B13" s="9" t="n">
        <v>0</v>
      </c>
      <c r="C13" s="9" t="n">
        <v>2899</v>
      </c>
    </row>
    <row r="14">
      <c r="B14" s="8" t="n">
        <v>1</v>
      </c>
      <c r="C14" s="8" t="n">
        <v>987</v>
      </c>
    </row>
    <row r="15">
      <c r="B15" s="9" t="n">
        <v>2</v>
      </c>
      <c r="C15" s="9" t="n">
        <v>517</v>
      </c>
    </row>
    <row r="16">
      <c r="B16" s="8" t="n">
        <v>3</v>
      </c>
      <c r="C16" s="8" t="n">
        <v>237</v>
      </c>
    </row>
    <row r="17">
      <c r="B17" s="9" t="n">
        <v>4</v>
      </c>
      <c r="C17" s="9" t="n">
        <v>126</v>
      </c>
    </row>
    <row r="18">
      <c r="B18" s="8" t="n">
        <v>5</v>
      </c>
      <c r="C18" s="8" t="n">
        <v>84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0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2">
      <c r="B2" s="1" t="inlineStr">
        <is>
          <t>Customer Risk Score Summary</t>
        </is>
      </c>
    </row>
    <row r="4">
      <c r="B4" s="2" t="inlineStr">
        <is>
          <t>Risk Label</t>
        </is>
      </c>
      <c r="C4" s="2" t="inlineStr">
        <is>
          <t>Customers</t>
        </is>
      </c>
      <c r="D4" s="2" t="inlineStr">
        <is>
          <t>Avg Credit Score</t>
        </is>
      </c>
      <c r="E4" s="2" t="inlineStr">
        <is>
          <t>Avg Income</t>
        </is>
      </c>
      <c r="F4" s="2" t="inlineStr">
        <is>
          <t>Avg DTI</t>
        </is>
      </c>
      <c r="G4" s="2" t="inlineStr">
        <is>
          <t>Avg Utilization</t>
        </is>
      </c>
      <c r="H4" s="2" t="inlineStr">
        <is>
          <t>Avg Defaults</t>
        </is>
      </c>
      <c r="I4" s="2" t="inlineStr">
        <is>
          <t>Total Loan Exposure</t>
        </is>
      </c>
    </row>
    <row r="5">
      <c r="B5" s="3" t="inlineStr">
        <is>
          <t>Low</t>
        </is>
      </c>
      <c r="C5" s="3" t="n">
        <v>2654</v>
      </c>
      <c r="D5" s="3" t="n">
        <v>660.37</v>
      </c>
      <c r="E5" s="3" t="n">
        <v>68102.27</v>
      </c>
      <c r="F5" s="3" t="n">
        <v>0.93</v>
      </c>
      <c r="G5" s="3" t="n">
        <v>0.27</v>
      </c>
      <c r="H5" s="3" t="n">
        <v>0.28</v>
      </c>
      <c r="I5" s="3" t="n">
        <v>160521432.03</v>
      </c>
    </row>
    <row r="6">
      <c r="B6" s="4" t="inlineStr">
        <is>
          <t>Medium</t>
        </is>
      </c>
      <c r="C6" s="4" t="n">
        <v>1462</v>
      </c>
      <c r="D6" s="4" t="n">
        <v>635.86</v>
      </c>
      <c r="E6" s="4" t="n">
        <v>54795.25</v>
      </c>
      <c r="F6" s="4" t="n">
        <v>1.89</v>
      </c>
      <c r="G6" s="4" t="n">
        <v>0.3</v>
      </c>
      <c r="H6" s="4" t="n">
        <v>1.14</v>
      </c>
      <c r="I6" s="4" t="n">
        <v>135211151.86</v>
      </c>
    </row>
    <row r="7">
      <c r="B7" s="5" t="inlineStr">
        <is>
          <t>High</t>
        </is>
      </c>
      <c r="C7" s="5" t="n">
        <v>734</v>
      </c>
      <c r="D7" s="5" t="n">
        <v>633.61</v>
      </c>
      <c r="E7" s="5" t="n">
        <v>31396.62</v>
      </c>
      <c r="F7" s="5" t="n">
        <v>3.76</v>
      </c>
      <c r="G7" s="5" t="n">
        <v>0.31</v>
      </c>
      <c r="H7" s="5" t="n">
        <v>1.71</v>
      </c>
      <c r="I7" s="5" t="n">
        <v>77578369.26000001</v>
      </c>
    </row>
    <row r="9">
      <c r="B9" s="6" t="inlineStr">
        <is>
          <t>Total Customers</t>
        </is>
      </c>
      <c r="C9" s="6" t="inlineStr">
        <is>
          <t>4,850</t>
        </is>
      </c>
      <c r="E9" s="6" t="inlineStr">
        <is>
          <t>High Risk Count</t>
        </is>
      </c>
      <c r="F9" s="6" t="inlineStr">
        <is>
          <t>734</t>
        </is>
      </c>
      <c r="H9" s="6" t="inlineStr">
        <is>
          <t>Portfolio at Risk</t>
        </is>
      </c>
      <c r="I9" s="6" t="inlineStr">
        <is>
          <t>$77,578,369</t>
        </is>
      </c>
    </row>
    <row r="10">
      <c r="B10" s="6" t="inlineStr">
        <is>
          <t>Avg Credit Score</t>
        </is>
      </c>
      <c r="C10" s="6" t="inlineStr">
        <is>
          <t>649</t>
        </is>
      </c>
      <c r="E10" s="6" t="inlineStr">
        <is>
          <t>Avg Income</t>
        </is>
      </c>
      <c r="F10" s="6" t="inlineStr">
        <is>
          <t>$58,536</t>
        </is>
      </c>
      <c r="H10" s="6" t="inlineStr">
        <is>
          <t>Avg DTI Ratio</t>
        </is>
      </c>
      <c r="I10" s="6" t="inlineStr">
        <is>
          <t>1.645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2026-03-09T01:44:56Z</dcterms:created>
  <dcterms:modified xsi:type="dcterms:W3CDTF">2026-03-09T01:44:56Z</dcterms:modified>
</cp:coreProperties>
</file>